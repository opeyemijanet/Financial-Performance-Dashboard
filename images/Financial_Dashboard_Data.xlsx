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onthly P&amp;L" sheetId="1" state="visible" r:id="rId3"/>
    <sheet name="2. Budget vs Actual" sheetId="2" state="visible" r:id="rId4"/>
    <sheet name="3. Expense Categories" sheetId="3" state="visible" r:id="rId5"/>
    <sheet name="4. KPI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<sst xmlns="http://schemas.openxmlformats.org/spreadsheetml/2006/main" count="70" uniqueCount="64">
  <si>
    <t xml:space="preserve">MONTHLY PROFIT &amp; LOSS — FY 2024</t>
  </si>
  <si>
    <t xml:space="preserve">Blue values = data inputs (edit these) | Black values = formulas (do not edit)</t>
  </si>
  <si>
    <t xml:space="preserve">Month</t>
  </si>
  <si>
    <t xml:space="preserve">Rev — Actual ($K)</t>
  </si>
  <si>
    <t xml:space="preserve">Rev — Budget ($K)</t>
  </si>
  <si>
    <t xml:space="preserve">Rev Variance ($K)</t>
  </si>
  <si>
    <t xml:space="preserve">Exp — Actual ($K)</t>
  </si>
  <si>
    <t xml:space="preserve">Exp — Budget ($K)</t>
  </si>
  <si>
    <t xml:space="preserve">Exp Variance ($K)</t>
  </si>
  <si>
    <t xml:space="preserve">Net Profit ($K)</t>
  </si>
  <si>
    <t xml:space="preserve">Profit Margin (%)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</si>
  <si>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</si>
  <si>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</si>
  <si>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</si>
  <si>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</si>
  <si>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</si>
  <si>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</si>
  <si>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</si>
  <si>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</si>
  <si>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</si>
  <si>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</si>
  <si>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</si>
  <si>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</si>
  <si>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/ AVG</t>
  </si>
  <si>
    <t xml:space="preserve">BUDGET VS ACTUAL — BY DEPARTMENT (YTD FY 2024)</t>
  </si>
  <si>
    <t xml:space="preserve">Blue values = data inputs | Black values = formulas</t>
  </si>
  <si>
    <t xml:space="preserve">Department</t>
  </si>
  <si>
    <t xml:space="preserve">Budget ($K)</t>
  </si>
  <si>
    <t xml:space="preserve">Actual ($K)</t>
  </si>
  <si>
    <t xml:space="preserve">Variance ($K)</t>
  </si>
  <si>
    <t xml:space="preserve">Variance (%)</t>
  </si>
  <si>
    <t xml:space="preserve">% Utilised</t>
  </si>
  <si>
    <t xml:space="preserve">Status</t>
  </si>
  <si>
    <t xml:space="preserve">Research</t>
  </si>
  <si>
    <t xml:space="preserve">Finance &amp; Admin</t>
  </si>
  <si>
    <t xml:space="preserve">Human Resources</t>
  </si>
  <si>
    <t xml:space="preserve">ICT</t>
  </si>
  <si>
    <t xml:space="preserve">Programmes</t>
  </si>
  <si>
    <t xml:space="preserve">Communications</t>
  </si>
  <si>
    <t xml:space="preserve">TOTAL</t>
  </si>
  <si>
    <t xml:space="preserve">EXPENSE BREAKDOWN BY CATEGORY — YTD FY 2024</t>
  </si>
  <si>
    <t xml:space="preserve">Expense Category</t>
  </si>
  <si>
    <t xml:space="preserve">Amount ($K)</t>
  </si>
  <si>
    <t xml:space="preserve">% of Total</t>
  </si>
  <si>
    <t xml:space="preserve">Personnel &amp; Salaries</t>
  </si>
  <si>
    <t xml:space="preserve">Operations &amp; Admin</t>
  </si>
  <si>
    <t xml:space="preserve">Project Delivery</t>
  </si>
  <si>
    <t xml:space="preserve">Overhead &amp; Facilities</t>
  </si>
  <si>
    <t xml:space="preserve">Travel &amp; Logistics</t>
  </si>
  <si>
    <t xml:space="preserve">Capacity Building</t>
  </si>
  <si>
    <t xml:space="preserve">KEY PERFORMANCE INDICATORS — FY 2024</t>
  </si>
  <si>
    <t xml:space="preserve">All values auto-calculated from your data sheets — do not edit this sheet directly</t>
  </si>
  <si>
    <t xml:space="preserve">KPI</t>
  </si>
  <si>
    <t xml:space="preserve">Value</t>
  </si>
  <si>
    <t xml:space="preserve">Target</t>
  </si>
  <si>
    <t xml:space="preserve">Total Revenue (YTD)</t>
  </si>
  <si>
    <t xml:space="preserve">Total Expenses (YTD)</t>
  </si>
  <si>
    <t xml:space="preserve">Net Profit (YTD)</t>
  </si>
  <si>
    <t xml:space="preserve">—</t>
  </si>
  <si>
    <t xml:space="preserve">Avg Profit Margin</t>
  </si>
  <si>
    <t xml:space="preserve">Budget Utilisation (Overall)</t>
  </si>
  <si>
    <t xml:space="preserve">Cost Recovery Rate</t>
  </si>
  <si>
    <t xml:space="preserve">Revenue vs Budget Variance</t>
  </si>
  <si>
    <t xml:space="preserve">Expense vs Budget Variance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</si>
</sst>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8"/>
    <col collapsed="false" customWidth="true" hidden="false" outlineLevel="0" max="9" min="8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s">
        <v>11</v>
      </c>
      <c r="B4" s="5" t="n">
        <v>720</v>
      </c>
      <c r="C4" s="5" t="n">
        <v>700</v>
      </c>
      <c r="D4" s="6" t="n">
        <f aca="false">B4-C4</f>
        <v>20</v>
      </c>
      <c r="E4" s="5" t="n">
        <v>510</v>
      </c>
      <c r="F4" s="5" t="n">
        <v>500</v>
      </c>
      <c r="G4" s="6" t="n">
        <f aca="false">E4-F4</f>
        <v>10</v>
      </c>
      <c r="H4" s="6" t="n">
        <f aca="false">B4-E4</f>
        <v>210</v>
      </c>
      <c r="I4" s="7" t="n">
        <f aca="false">IF(B4=0,0,H4/B4)</f>
        <v>0.291666666666667</v>
      </c>
    </row>
    <row r="5" customFormat="false" ht="15" hidden="false" customHeight="false" outlineLevel="0" collapsed="false">
      <c r="A5" s="8" t="s">
        <v>12</v>
      </c>
      <c r="B5" s="5" t="n">
        <v>680</v>
      </c>
      <c r="C5" s="5" t="n">
        <v>710</v>
      </c>
      <c r="D5" s="9" t="n">
        <f aca="false">B5-C5</f>
        <v>-30</v>
      </c>
      <c r="E5" s="5" t="n">
        <v>490</v>
      </c>
      <c r="F5" s="5" t="n">
        <v>505</v>
      </c>
      <c r="G5" s="9" t="n">
        <f aca="false">E5-F5</f>
        <v>-15</v>
      </c>
      <c r="H5" s="9" t="n">
        <f aca="false">B5-E5</f>
        <v>190</v>
      </c>
      <c r="I5" s="10" t="n">
        <f aca="false">IF(B5=0,0,H5/B5)</f>
        <v>0.279411764705882</v>
      </c>
    </row>
    <row r="6" customFormat="false" ht="15" hidden="false" customHeight="false" outlineLevel="0" collapsed="false">
      <c r="A6" s="4" t="s">
        <v>13</v>
      </c>
      <c r="B6" s="5" t="n">
        <v>750</v>
      </c>
      <c r="C6" s="5" t="n">
        <v>730</v>
      </c>
      <c r="D6" s="6" t="n">
        <f aca="false">B6-C6</f>
        <v>20</v>
      </c>
      <c r="E6" s="5" t="n">
        <v>530</v>
      </c>
      <c r="F6" s="5" t="n">
        <v>520</v>
      </c>
      <c r="G6" s="6" t="n">
        <f aca="false">E6-F6</f>
        <v>10</v>
      </c>
      <c r="H6" s="6" t="n">
        <f aca="false">B6-E6</f>
        <v>220</v>
      </c>
      <c r="I6" s="7" t="n">
        <f aca="false">IF(B6=0,0,H6/B6)</f>
        <v>0.293333333333333</v>
      </c>
    </row>
    <row r="7" customFormat="false" ht="15" hidden="false" customHeight="false" outlineLevel="0" collapsed="false">
      <c r="A7" s="8" t="s">
        <v>14</v>
      </c>
      <c r="B7" s="5" t="n">
        <v>810</v>
      </c>
      <c r="C7" s="5" t="n">
        <v>790</v>
      </c>
      <c r="D7" s="9" t="n">
        <f aca="false">B7-C7</f>
        <v>20</v>
      </c>
      <c r="E7" s="5" t="n">
        <v>580</v>
      </c>
      <c r="F7" s="5" t="n">
        <v>570</v>
      </c>
      <c r="G7" s="9" t="n">
        <f aca="false">E7-F7</f>
        <v>10</v>
      </c>
      <c r="H7" s="9" t="n">
        <f aca="false">B7-E7</f>
        <v>230</v>
      </c>
      <c r="I7" s="10" t="n">
        <f aca="false">IF(B7=0,0,H7/B7)</f>
        <v>0.283950617283951</v>
      </c>
    </row>
    <row r="8" customFormat="false" ht="15" hidden="false" customHeight="false" outlineLevel="0" collapsed="false">
      <c r="A8" s="4" t="s">
        <v>15</v>
      </c>
      <c r="B8" s="5" t="n">
        <v>760</v>
      </c>
      <c r="C8" s="5" t="n">
        <v>790</v>
      </c>
      <c r="D8" s="6" t="n">
        <f aca="false">B8-C8</f>
        <v>-30</v>
      </c>
      <c r="E8" s="5" t="n">
        <v>560</v>
      </c>
      <c r="F8" s="5" t="n">
        <v>570</v>
      </c>
      <c r="G8" s="6" t="n">
        <f aca="false">E8-F8</f>
        <v>-10</v>
      </c>
      <c r="H8" s="6" t="n">
        <f aca="false">B8-E8</f>
        <v>200</v>
      </c>
      <c r="I8" s="7" t="n">
        <f aca="false">IF(B8=0,0,H8/B8)</f>
        <v>0.263157894736842</v>
      </c>
    </row>
    <row r="9" customFormat="false" ht="15" hidden="false" customHeight="false" outlineLevel="0" collapsed="false">
      <c r="A9" s="8" t="s">
        <v>16</v>
      </c>
      <c r="B9" s="5" t="n">
        <v>870</v>
      </c>
      <c r="C9" s="5" t="n">
        <v>840</v>
      </c>
      <c r="D9" s="9" t="n">
        <f aca="false">B9-C9</f>
        <v>30</v>
      </c>
      <c r="E9" s="5" t="n">
        <v>620</v>
      </c>
      <c r="F9" s="5" t="n">
        <v>610</v>
      </c>
      <c r="G9" s="9" t="n">
        <f aca="false">E9-F9</f>
        <v>10</v>
      </c>
      <c r="H9" s="9" t="n">
        <f aca="false">B9-E9</f>
        <v>250</v>
      </c>
      <c r="I9" s="10" t="n">
        <f aca="false">IF(B9=0,0,H9/B9)</f>
        <v>0.28735632183908</v>
      </c>
    </row>
    <row r="10" customFormat="false" ht="15" hidden="false" customHeight="false" outlineLevel="0" collapsed="false">
      <c r="A10" s="4" t="s">
        <v>17</v>
      </c>
      <c r="B10" s="5" t="n">
        <v>980</v>
      </c>
      <c r="C10" s="5" t="n">
        <v>930</v>
      </c>
      <c r="D10" s="6" t="n">
        <f aca="false">B10-C10</f>
        <v>50</v>
      </c>
      <c r="E10" s="5" t="n">
        <v>710</v>
      </c>
      <c r="F10" s="5" t="n">
        <v>695</v>
      </c>
      <c r="G10" s="6" t="n">
        <f aca="false">E10-F10</f>
        <v>15</v>
      </c>
      <c r="H10" s="6" t="n">
        <f aca="false">B10-E10</f>
        <v>270</v>
      </c>
      <c r="I10" s="7" t="n">
        <f aca="false">IF(B10=0,0,H10/B10)</f>
        <v>0.275510204081633</v>
      </c>
    </row>
    <row r="11" customFormat="false" ht="15" hidden="false" customHeight="false" outlineLevel="0" collapsed="false">
      <c r="A11" s="8" t="s">
        <v>18</v>
      </c>
      <c r="B11" s="5" t="n">
        <v>920</v>
      </c>
      <c r="C11" s="5" t="n">
        <v>900</v>
      </c>
      <c r="D11" s="9" t="n">
        <f aca="false">B11-C11</f>
        <v>20</v>
      </c>
      <c r="E11" s="5" t="n">
        <v>680</v>
      </c>
      <c r="F11" s="5" t="n">
        <v>670</v>
      </c>
      <c r="G11" s="9" t="n">
        <f aca="false">E11-F11</f>
        <v>10</v>
      </c>
      <c r="H11" s="9" t="n">
        <f aca="false">B11-E11</f>
        <v>240</v>
      </c>
      <c r="I11" s="10" t="n">
        <f aca="false">IF(B11=0,0,H11/B11)</f>
        <v>0.260869565217391</v>
      </c>
    </row>
    <row r="12" customFormat="false" ht="15" hidden="false" customHeight="false" outlineLevel="0" collapsed="false">
      <c r="A12" s="4" t="s">
        <v>19</v>
      </c>
      <c r="B12" s="5" t="n">
        <v>850</v>
      </c>
      <c r="C12" s="5" t="n">
        <v>860</v>
      </c>
      <c r="D12" s="6" t="n">
        <f aca="false">B12-C12</f>
        <v>-10</v>
      </c>
      <c r="E12" s="5" t="n">
        <v>620</v>
      </c>
      <c r="F12" s="5" t="n">
        <v>615</v>
      </c>
      <c r="G12" s="6" t="n">
        <f aca="false">E12-F12</f>
        <v>5</v>
      </c>
      <c r="H12" s="6" t="n">
        <f aca="false">B12-E12</f>
        <v>230</v>
      </c>
      <c r="I12" s="7" t="n">
        <f aca="false">IF(B12=0,0,H12/B12)</f>
        <v>0.270588235294118</v>
      </c>
    </row>
    <row r="13" customFormat="false" ht="15" hidden="false" customHeight="false" outlineLevel="0" collapsed="false">
      <c r="A13" s="8" t="s">
        <v>20</v>
      </c>
      <c r="B13" s="5" t="n">
        <v>890</v>
      </c>
      <c r="C13" s="5" t="n">
        <v>870</v>
      </c>
      <c r="D13" s="9" t="n">
        <f aca="false">B13-C13</f>
        <v>20</v>
      </c>
      <c r="E13" s="5" t="n">
        <v>650</v>
      </c>
      <c r="F13" s="5" t="n">
        <v>640</v>
      </c>
      <c r="G13" s="9" t="n">
        <f aca="false">E13-F13</f>
        <v>10</v>
      </c>
      <c r="H13" s="9" t="n">
        <f aca="false">B13-E13</f>
        <v>240</v>
      </c>
      <c r="I13" s="10" t="n">
        <f aca="false">IF(B13=0,0,H13/B13)</f>
        <v>0.269662921348315</v>
      </c>
    </row>
    <row r="14" customFormat="false" ht="15" hidden="false" customHeight="false" outlineLevel="0" collapsed="false">
      <c r="A14" s="4" t="s">
        <v>21</v>
      </c>
      <c r="B14" s="5" t="n">
        <v>910</v>
      </c>
      <c r="C14" s="5" t="n">
        <v>880</v>
      </c>
      <c r="D14" s="6" t="n">
        <f aca="false">B14-C14</f>
        <v>30</v>
      </c>
      <c r="E14" s="5" t="n">
        <v>670</v>
      </c>
      <c r="F14" s="5" t="n">
        <v>660</v>
      </c>
      <c r="G14" s="6" t="n">
        <f aca="false">E14-F14</f>
        <v>10</v>
      </c>
      <c r="H14" s="6" t="n">
        <f aca="false">B14-E14</f>
        <v>240</v>
      </c>
      <c r="I14" s="7" t="n">
        <f aca="false">IF(B14=0,0,H14/B14)</f>
        <v>0.263736263736264</v>
      </c>
    </row>
    <row r="15" customFormat="false" ht="15" hidden="false" customHeight="false" outlineLevel="0" collapsed="false">
      <c r="A15" s="8" t="s">
        <v>22</v>
      </c>
      <c r="B15" s="5" t="n">
        <v>960</v>
      </c>
      <c r="C15" s="5" t="n">
        <v>940</v>
      </c>
      <c r="D15" s="9" t="n">
        <f aca="false">B15-C15</f>
        <v>20</v>
      </c>
      <c r="E15" s="5" t="n">
        <v>700</v>
      </c>
      <c r="F15" s="5" t="n">
        <v>690</v>
      </c>
      <c r="G15" s="9" t="n">
        <f aca="false">E15-F15</f>
        <v>10</v>
      </c>
      <c r="H15" s="9" t="n">
        <f aca="false">B15-E15</f>
        <v>260</v>
      </c>
      <c r="I15" s="10" t="n">
        <f aca="false">IF(B15=0,0,H15/B15)</f>
        <v>0.270833333333333</v>
      </c>
    </row>
    <row r="16" customFormat="false" ht="15" hidden="false" customHeight="false" outlineLevel="0" collapsed="false">
      <c r="A16" s="11" t="s">
        <v>23</v>
      </c>
      <c r="B16" s="12" t="n">
        <f aca="false">SUM(B4:B15)</f>
        <v>10100</v>
      </c>
      <c r="C16" s="12" t="n">
        <f aca="false">SUM(C4:C15)</f>
        <v>9940</v>
      </c>
      <c r="D16" s="12" t="n">
        <f aca="false">SUM(D4:D15)</f>
        <v>160</v>
      </c>
      <c r="E16" s="12" t="n">
        <f aca="false">SUM(E4:E15)</f>
        <v>7320</v>
      </c>
      <c r="F16" s="12" t="n">
        <f aca="false">SUM(F4:F15)</f>
        <v>7245</v>
      </c>
      <c r="G16" s="12" t="n">
        <f aca="false">SUM(G4:G15)</f>
        <v>75</v>
      </c>
      <c r="H16" s="12" t="n">
        <f aca="false">SUM(H4:H15)</f>
        <v>2780</v>
      </c>
      <c r="I16" s="13" t="n">
        <f aca="false">AVERAGE(I4:I15)</f>
        <v>0.275839760131401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14" t="s">
        <v>26</v>
      </c>
      <c r="B3" s="14" t="s">
        <v>27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</row>
    <row r="4" customFormat="false" ht="15" hidden="false" customHeight="false" outlineLevel="0" collapsed="false">
      <c r="A4" s="15" t="s">
        <v>33</v>
      </c>
      <c r="B4" s="5" t="n">
        <v>1200</v>
      </c>
      <c r="C4" s="5" t="n">
        <v>1080</v>
      </c>
      <c r="D4" s="6" t="n">
        <f aca="false">C4-B4</f>
        <v>-120</v>
      </c>
      <c r="E4" s="7" t="n">
        <f aca="false">IF(B4=0,0,D4/B4)</f>
        <v>-0.1</v>
      </c>
      <c r="F4" s="7" t="n">
        <f aca="false">IF(B4=0,0,C4/B4)</f>
        <v>0.9</v>
      </c>
      <c r="G4" s="16" t="str">
        <f aca="false">IF(D4&lt;0,"Over Budget",IF(D4=0,"On Budget","Under Budget"))</f>
        <v>Over Budget</v>
      </c>
    </row>
    <row r="5" customFormat="false" ht="15" hidden="false" customHeight="false" outlineLevel="0" collapsed="false">
      <c r="A5" s="17" t="s">
        <v>34</v>
      </c>
      <c r="B5" s="5" t="n">
        <v>480</v>
      </c>
      <c r="C5" s="5" t="n">
        <v>440</v>
      </c>
      <c r="D5" s="9" t="n">
        <f aca="false">C5-B5</f>
        <v>-40</v>
      </c>
      <c r="E5" s="10" t="n">
        <f aca="false">IF(B5=0,0,D5/B5)</f>
        <v>-0.0833333333333333</v>
      </c>
      <c r="F5" s="10" t="n">
        <f aca="false">IF(B5=0,0,C5/B5)</f>
        <v>0.916666666666667</v>
      </c>
      <c r="G5" s="18" t="str">
        <f aca="false">IF(D5&lt;0,"Over Budget",IF(D5=0,"On Budget","Under Budget"))</f>
        <v>Over Budget</v>
      </c>
    </row>
    <row r="6" customFormat="false" ht="15" hidden="false" customHeight="false" outlineLevel="0" collapsed="false">
      <c r="A6" s="15" t="s">
        <v>35</v>
      </c>
      <c r="B6" s="5" t="n">
        <v>320</v>
      </c>
      <c r="C6" s="5" t="n">
        <v>310</v>
      </c>
      <c r="D6" s="6" t="n">
        <f aca="false">C6-B6</f>
        <v>-10</v>
      </c>
      <c r="E6" s="7" t="n">
        <f aca="false">IF(B6=0,0,D6/B6)</f>
        <v>-0.03125</v>
      </c>
      <c r="F6" s="7" t="n">
        <f aca="false">IF(B6=0,0,C6/B6)</f>
        <v>0.96875</v>
      </c>
      <c r="G6" s="16" t="str">
        <f aca="false">IF(D6&lt;0,"Over Budget",IF(D6=0,"On Budget","Under Budget"))</f>
        <v>Over Budget</v>
      </c>
    </row>
    <row r="7" customFormat="false" ht="15" hidden="false" customHeight="false" outlineLevel="0" collapsed="false">
      <c r="A7" s="17" t="s">
        <v>36</v>
      </c>
      <c r="B7" s="5" t="n">
        <v>560</v>
      </c>
      <c r="C7" s="5" t="n">
        <v>545</v>
      </c>
      <c r="D7" s="9" t="n">
        <f aca="false">C7-B7</f>
        <v>-15</v>
      </c>
      <c r="E7" s="10" t="n">
        <f aca="false">IF(B7=0,0,D7/B7)</f>
        <v>-0.0267857142857143</v>
      </c>
      <c r="F7" s="10" t="n">
        <f aca="false">IF(B7=0,0,C7/B7)</f>
        <v>0.973214285714286</v>
      </c>
      <c r="G7" s="18" t="str">
        <f aca="false">IF(D7&lt;0,"Over Budget",IF(D7=0,"On Budget","Under Budget"))</f>
        <v>Over Budget</v>
      </c>
    </row>
    <row r="8" customFormat="false" ht="15" hidden="false" customHeight="false" outlineLevel="0" collapsed="false">
      <c r="A8" s="15" t="s">
        <v>37</v>
      </c>
      <c r="B8" s="5" t="n">
        <v>1800</v>
      </c>
      <c r="C8" s="5" t="n">
        <v>1760</v>
      </c>
      <c r="D8" s="6" t="n">
        <f aca="false">C8-B8</f>
        <v>-40</v>
      </c>
      <c r="E8" s="7" t="n">
        <f aca="false">IF(B8=0,0,D8/B8)</f>
        <v>-0.0222222222222222</v>
      </c>
      <c r="F8" s="7" t="n">
        <f aca="false">IF(B8=0,0,C8/B8)</f>
        <v>0.977777777777778</v>
      </c>
      <c r="G8" s="16" t="str">
        <f aca="false">IF(D8&lt;0,"Over Budget",IF(D8=0,"On Budget","Under Budget"))</f>
        <v>Over Budget</v>
      </c>
    </row>
    <row r="9" customFormat="false" ht="15" hidden="false" customHeight="false" outlineLevel="0" collapsed="false">
      <c r="A9" s="17" t="s">
        <v>38</v>
      </c>
      <c r="B9" s="5" t="n">
        <v>240</v>
      </c>
      <c r="C9" s="5" t="n">
        <v>260</v>
      </c>
      <c r="D9" s="9" t="n">
        <f aca="false">C9-B9</f>
        <v>20</v>
      </c>
      <c r="E9" s="10" t="n">
        <f aca="false">IF(B9=0,0,D9/B9)</f>
        <v>0.0833333333333333</v>
      </c>
      <c r="F9" s="10" t="n">
        <f aca="false">IF(B9=0,0,C9/B9)</f>
        <v>1.08333333333333</v>
      </c>
      <c r="G9" s="18" t="str">
        <f aca="false">IF(D9&lt;0,"Over Budget",IF(D9=0,"On Budget","Under Budget"))</f>
        <v>Under Budget</v>
      </c>
    </row>
    <row r="10" customFormat="false" ht="15" hidden="false" customHeight="false" outlineLevel="0" collapsed="false">
      <c r="A10" s="11" t="s">
        <v>39</v>
      </c>
      <c r="B10" s="12" t="n">
        <f aca="false">SUM(B4:B9)</f>
        <v>4600</v>
      </c>
      <c r="C10" s="12" t="n">
        <f aca="false">SUM(C4:C9)</f>
        <v>4395</v>
      </c>
      <c r="D10" s="12" t="n">
        <f aca="false">SUM(D4:D9)</f>
        <v>-205</v>
      </c>
      <c r="E10" s="13" t="n">
        <f aca="false">IF(B10=0,0,D10/B10)</f>
        <v>-0.0445652173913044</v>
      </c>
      <c r="F10" s="13" t="n">
        <f aca="false">IF(B10=0,0,C10/B10)</f>
        <v>0.955434782608696</v>
      </c>
      <c r="G10" s="19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</cols>
  <sheetData>
    <row r="1" customFormat="false" ht="27.75" hidden="false" customHeight="true" outlineLevel="0" collapsed="false">
      <c r="A1" s="1" t="s">
        <v>40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</row>
    <row r="3" customFormat="false" ht="30" hidden="false" customHeight="true" outlineLevel="0" collapsed="false">
      <c r="A3" s="14" t="s">
        <v>41</v>
      </c>
      <c r="B3" s="14" t="s">
        <v>42</v>
      </c>
      <c r="C3" s="14" t="s">
        <v>43</v>
      </c>
      <c r="D3" s="14" t="s">
        <v>27</v>
      </c>
      <c r="E3" s="14" t="s">
        <v>29</v>
      </c>
    </row>
    <row r="4" customFormat="false" ht="15" hidden="false" customHeight="false" outlineLevel="0" collapsed="false">
      <c r="A4" s="15" t="s">
        <v>44</v>
      </c>
      <c r="B4" s="5" t="n">
        <v>2745</v>
      </c>
      <c r="C4" s="7" t="n">
        <f aca="false">IF(B10=0,0,B4/B10)</f>
        <v>0.394680086268871</v>
      </c>
      <c r="D4" s="5" t="n">
        <v>2800</v>
      </c>
      <c r="E4" s="6" t="n">
        <f aca="false">B4-D4</f>
        <v>-55</v>
      </c>
    </row>
    <row r="5" customFormat="false" ht="15" hidden="false" customHeight="false" outlineLevel="0" collapsed="false">
      <c r="A5" s="17" t="s">
        <v>45</v>
      </c>
      <c r="B5" s="5" t="n">
        <v>1342</v>
      </c>
      <c r="C5" s="10" t="n">
        <f aca="false">IF(B10=0,0,B5/B10)</f>
        <v>0.192954708842559</v>
      </c>
      <c r="D5" s="5" t="n">
        <v>1300</v>
      </c>
      <c r="E5" s="9" t="n">
        <f aca="false">B5-D5</f>
        <v>42</v>
      </c>
    </row>
    <row r="6" customFormat="false" ht="15" hidden="false" customHeight="false" outlineLevel="0" collapsed="false">
      <c r="A6" s="15" t="s">
        <v>46</v>
      </c>
      <c r="B6" s="5" t="n">
        <v>1221</v>
      </c>
      <c r="C6" s="7" t="n">
        <f aca="false">IF(B10=0,0,B6/B10)</f>
        <v>0.175557153127247</v>
      </c>
      <c r="D6" s="5" t="n">
        <v>1200</v>
      </c>
      <c r="E6" s="6" t="n">
        <f aca="false">B6-D6</f>
        <v>21</v>
      </c>
    </row>
    <row r="7" customFormat="false" ht="15" hidden="false" customHeight="false" outlineLevel="0" collapsed="false">
      <c r="A7" s="17" t="s">
        <v>47</v>
      </c>
      <c r="B7" s="5" t="n">
        <v>793</v>
      </c>
      <c r="C7" s="10" t="n">
        <f aca="false">IF(B10=0,0,B7/B10)</f>
        <v>0.114018691588785</v>
      </c>
      <c r="D7" s="5" t="n">
        <v>800</v>
      </c>
      <c r="E7" s="9" t="n">
        <f aca="false">B7-D7</f>
        <v>-7</v>
      </c>
    </row>
    <row r="8" customFormat="false" ht="15" hidden="false" customHeight="false" outlineLevel="0" collapsed="false">
      <c r="A8" s="15" t="s">
        <v>48</v>
      </c>
      <c r="B8" s="5" t="n">
        <v>366</v>
      </c>
      <c r="C8" s="7" t="n">
        <f aca="false">IF(B10=0,0,B8/B10)</f>
        <v>0.0526240115025162</v>
      </c>
      <c r="D8" s="5" t="n">
        <v>350</v>
      </c>
      <c r="E8" s="6" t="n">
        <f aca="false">B8-D8</f>
        <v>16</v>
      </c>
    </row>
    <row r="9" customFormat="false" ht="15" hidden="false" customHeight="false" outlineLevel="0" collapsed="false">
      <c r="A9" s="17" t="s">
        <v>49</v>
      </c>
      <c r="B9" s="5" t="n">
        <v>488</v>
      </c>
      <c r="C9" s="10" t="n">
        <f aca="false">IF(B10=0,0,B9/B10)</f>
        <v>0.0701653486700216</v>
      </c>
      <c r="D9" s="5" t="n">
        <v>450</v>
      </c>
      <c r="E9" s="9" t="n">
        <f aca="false">B9-D9</f>
        <v>38</v>
      </c>
    </row>
    <row r="10" customFormat="false" ht="15" hidden="false" customHeight="false" outlineLevel="0" collapsed="false">
      <c r="A10" s="11" t="s">
        <v>39</v>
      </c>
      <c r="B10" s="12" t="n">
        <f aca="false">SUM(B4:B9)</f>
        <v>6955</v>
      </c>
      <c r="C10" s="13" t="n">
        <f aca="false">SUM(C4:C9)</f>
        <v>1</v>
      </c>
      <c r="D10" s="12" t="n">
        <f aca="false">SUM(D4:D9)</f>
        <v>6900</v>
      </c>
      <c r="E10" s="12" t="n">
        <f aca="false">SUM(E4:E9)</f>
        <v>55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" t="s">
        <v>50</v>
      </c>
      <c r="B1" s="1"/>
      <c r="C1" s="1"/>
      <c r="D1" s="1"/>
    </row>
    <row r="2" customFormat="false" ht="15" hidden="false" customHeight="false" outlineLevel="0" collapsed="false">
      <c r="A2" s="2" t="s">
        <v>51</v>
      </c>
      <c r="B2" s="2"/>
      <c r="C2" s="2"/>
      <c r="D2" s="2"/>
    </row>
    <row r="3" customFormat="false" ht="30" hidden="false" customHeight="true" outlineLevel="0" collapsed="false">
      <c r="A3" s="14" t="s">
        <v>52</v>
      </c>
      <c r="B3" s="14" t="s">
        <v>53</v>
      </c>
      <c r="C3" s="14" t="s">
        <v>54</v>
      </c>
      <c r="D3" s="14" t="s">
        <v>32</v>
      </c>
    </row>
    <row r="4" customFormat="false" ht="15" hidden="false" customHeight="false" outlineLevel="0" collapsed="false">
      <c r="A4" s="15" t="s">
        <v>55</v>
      </c>
      <c r="B4" s="6" t="n">
        <f aca="false">'1. Monthly P&amp;L'!B16</f>
        <v>10100</v>
      </c>
      <c r="C4" s="20" t="n">
        <f aca="false">'1. Monthly P&amp;L'!C16</f>
        <v>9940</v>
      </c>
      <c r="D4" s="16" t="str">
        <f aca="false">IF(B4&gt;=C4,"✔ On Target","✘ Below Target")</f>
        <v>✔ On Target</v>
      </c>
    </row>
    <row r="5" customFormat="false" ht="15" hidden="false" customHeight="false" outlineLevel="0" collapsed="false">
      <c r="A5" s="17" t="s">
        <v>56</v>
      </c>
      <c r="B5" s="9" t="n">
        <f aca="false">'1. Monthly P&amp;L'!E16</f>
        <v>7320</v>
      </c>
      <c r="C5" s="21" t="n">
        <f aca="false">'1. Monthly P&amp;L'!F16</f>
        <v>7245</v>
      </c>
      <c r="D5" s="18" t="str">
        <f aca="false">IF(B5&gt;=C5,"✔ On Target","✘ Below Target")</f>
        <v>✔ On Target</v>
      </c>
    </row>
    <row r="6" customFormat="false" ht="15" hidden="false" customHeight="false" outlineLevel="0" collapsed="false">
      <c r="A6" s="15" t="s">
        <v>57</v>
      </c>
      <c r="B6" s="6" t="n">
        <f aca="false">'1. Monthly P&amp;L'!H16</f>
        <v>2780</v>
      </c>
      <c r="C6" s="22" t="s">
        <v>58</v>
      </c>
      <c r="D6" s="22" t="s">
        <v>58</v>
      </c>
    </row>
    <row r="7" customFormat="false" ht="15" hidden="false" customHeight="false" outlineLevel="0" collapsed="false">
      <c r="A7" s="17" t="s">
        <v>59</v>
      </c>
      <c r="B7" s="23" t="n">
        <f aca="false">'1. Monthly P&amp;L'!I16</f>
        <v>0.275839760131401</v>
      </c>
      <c r="C7" s="24" t="n">
        <v>0.25</v>
      </c>
      <c r="D7" s="18" t="str">
        <f aca="false">IF(B7&gt;=C7,"✔ On Target","✘ Below Target")</f>
        <v>✔ On Target</v>
      </c>
    </row>
    <row r="8" customFormat="false" ht="15" hidden="false" customHeight="false" outlineLevel="0" collapsed="false">
      <c r="A8" s="15" t="s">
        <v>60</v>
      </c>
      <c r="B8" s="25" t="n">
        <f aca="false">'2. Budget vs Actual'!F10</f>
        <v>0.955434782608696</v>
      </c>
      <c r="C8" s="26" t="n">
        <v>0.95</v>
      </c>
      <c r="D8" s="16" t="str">
        <f aca="false">IF(B8&gt;=C8,"✔ On Target","✘ Below Target")</f>
        <v>✔ On Target</v>
      </c>
    </row>
    <row r="9" customFormat="false" ht="15" hidden="false" customHeight="false" outlineLevel="0" collapsed="false">
      <c r="A9" s="17" t="s">
        <v>61</v>
      </c>
      <c r="B9" s="23" t="n">
        <f aca="false">'3. Expense Categories'!B10/'1. Monthly P&amp;L'!B16</f>
        <v>0.688613861386139</v>
      </c>
      <c r="C9" s="24" t="n">
        <v>0.95</v>
      </c>
      <c r="D9" s="18" t="str">
        <f aca="false">IF(B9&gt;=C9,"✔ On Target","✘ Below Target")</f>
        <v>✘ Below Target</v>
      </c>
    </row>
    <row r="10" customFormat="false" ht="15" hidden="false" customHeight="false" outlineLevel="0" collapsed="false">
      <c r="A10" s="15" t="s">
        <v>62</v>
      </c>
      <c r="B10" s="6" t="n">
        <f aca="false">'1. Monthly P&amp;L'!D16</f>
        <v>160</v>
      </c>
      <c r="C10" s="20" t="n">
        <v>0</v>
      </c>
      <c r="D10" s="16" t="str">
        <f aca="false">IF(B10&gt;=C10,"✔ On Target","✘ Below Target")</f>
        <v>✔ On Target</v>
      </c>
    </row>
    <row r="11" customFormat="false" ht="15" hidden="false" customHeight="false" outlineLevel="0" collapsed="false">
      <c r="A11" s="17" t="s">
        <v>63</v>
      </c>
      <c r="B11" s="9" t="n">
        <f aca="false">'1. Monthly P&amp;L'!G16</f>
        <v>75</v>
      </c>
      <c r="C11" s="21" t="n">
        <v>0</v>
      </c>
      <c r="D11" s="18" t="str">
        <f aca="false">IF(B11&gt;=C11,"✔ On Target","✘ Below Target")</f>
        <v>✔ On Target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2026-05-20T21:43:14Z</dcterms:created>
  <dc:creator>openpyxl</dc:creator>
  <dc:description/>
  <dc:language>en-US</dc:language>
  <cp:lastModifiedBy/>
  <dcterms:modified xsi:type="dcterms:W3CDTF">2026-05-20T21:43:14Z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